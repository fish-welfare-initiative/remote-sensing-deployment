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aven/Desktop/RS.v4/"/>
    </mc:Choice>
  </mc:AlternateContent>
  <xr:revisionPtr revIDLastSave="0" documentId="13_ncr:1_{C9A96002-8E37-5E49-AB57-FFBB53806756}" xr6:coauthVersionLast="47" xr6:coauthVersionMax="47" xr10:uidLastSave="{00000000-0000-0000-0000-000000000000}"/>
  <bookViews>
    <workbookView xWindow="0" yWindow="640" windowWidth="20020" windowHeight="14380" tabRatio="500" xr2:uid="{00000000-000D-0000-FFFF-FFFF00000000}"/>
  </bookViews>
  <sheets>
    <sheet name="IC.v2 Chl-a Predictions" sheetId="1" r:id="rId1"/>
  </sheets>
  <definedNames>
    <definedName name="_xlnm._FilterDatabase" localSheetId="0">'IC.v2 Chl-a Predictions'!$A$1:$F$20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F23" i="1"/>
  <c r="F22" i="1"/>
</calcChain>
</file>

<file path=xl/sharedStrings.xml><?xml version="1.0" encoding="utf-8"?>
<sst xmlns="http://schemas.openxmlformats.org/spreadsheetml/2006/main" count="67" uniqueCount="55">
  <si>
    <t>Pond ID</t>
  </si>
  <si>
    <t>Pond</t>
  </si>
  <si>
    <t>Flyover Date</t>
  </si>
  <si>
    <t>Latitude</t>
  </si>
  <si>
    <t>Longitude</t>
  </si>
  <si>
    <t>Predicted Chl-a (µg/L)</t>
  </si>
  <si>
    <t>WG-RRO1</t>
  </si>
  <si>
    <t>RRO1</t>
  </si>
  <si>
    <t>6/28/2025</t>
  </si>
  <si>
    <t>WG-BSK2</t>
  </si>
  <si>
    <t>BSK2</t>
  </si>
  <si>
    <t>WG-PRA1</t>
  </si>
  <si>
    <t>PRA1</t>
  </si>
  <si>
    <t>WG-SRV1</t>
  </si>
  <si>
    <t>SRV1</t>
  </si>
  <si>
    <t>7/8/2025</t>
  </si>
  <si>
    <t>WG-GOW2</t>
  </si>
  <si>
    <t>GOW2</t>
  </si>
  <si>
    <t>WG-NRO1</t>
  </si>
  <si>
    <t>NRO1</t>
  </si>
  <si>
    <t>WG-KVR3</t>
  </si>
  <si>
    <t>KVR3</t>
  </si>
  <si>
    <t>7/13/2025</t>
  </si>
  <si>
    <t>WG-MUR1</t>
  </si>
  <si>
    <t>MUR1</t>
  </si>
  <si>
    <t>WG-NSR1</t>
  </si>
  <si>
    <t>NSR1</t>
  </si>
  <si>
    <t>7/18/2025</t>
  </si>
  <si>
    <t>WG-NSR2</t>
  </si>
  <si>
    <t>NSR2</t>
  </si>
  <si>
    <t>WG-NSR3</t>
  </si>
  <si>
    <t>NSR3</t>
  </si>
  <si>
    <t>WG-NRR1</t>
  </si>
  <si>
    <t>NRR1</t>
  </si>
  <si>
    <t>8/2/2025</t>
  </si>
  <si>
    <t>WG-NRR2</t>
  </si>
  <si>
    <t>NRR2</t>
  </si>
  <si>
    <t>WG-PNR1</t>
  </si>
  <si>
    <t>PNR1</t>
  </si>
  <si>
    <t>WG-SRI1</t>
  </si>
  <si>
    <t>SRI1</t>
  </si>
  <si>
    <t>8/7/2025</t>
  </si>
  <si>
    <t>WG-VVR1</t>
  </si>
  <si>
    <t>VVR1</t>
  </si>
  <si>
    <t>WG-AKR1</t>
  </si>
  <si>
    <t>AKR1</t>
  </si>
  <si>
    <t>8/12/2025</t>
  </si>
  <si>
    <t>WG-AKR2</t>
  </si>
  <si>
    <t>AKR2</t>
  </si>
  <si>
    <t>WG-SRM1</t>
  </si>
  <si>
    <t>SRM1</t>
  </si>
  <si>
    <t>Mean:</t>
  </si>
  <si>
    <t>Min:</t>
  </si>
  <si>
    <t>Max:</t>
  </si>
  <si>
    <t>Note: WG-SRI2 excluded — no GPS coordinates in ARA key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</si>
</sst>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color rgb="FF88888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'IC.v2 Chl-a Predictions'!$F$1</c:f>
              <c:strCache>
                <c:ptCount val="1"/>
                <c:pt idx="0">
                  <c:v>Predicted Chl-a (µg/L)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'IC.v2 Chl-a Predictions'!$E$2:$E$20</c:f>
              <c:strCache>
                <c:ptCount val="19"/>
                <c:pt idx="0">
                  <c:v>WG-RRO1</c:v>
                </c:pt>
                <c:pt idx="1">
                  <c:v>WG-BSK2</c:v>
                </c:pt>
                <c:pt idx="2">
                  <c:v>WG-PRA1</c:v>
                </c:pt>
                <c:pt idx="3">
                  <c:v>WG-SRV1</c:v>
                </c:pt>
                <c:pt idx="4">
                  <c:v>WG-GOW2</c:v>
                </c:pt>
                <c:pt idx="5">
                  <c:v>WG-NRO1</c:v>
                </c:pt>
                <c:pt idx="6">
                  <c:v>WG-KVR3</c:v>
                </c:pt>
                <c:pt idx="7">
                  <c:v>WG-MUR1</c:v>
                </c:pt>
                <c:pt idx="8">
                  <c:v>WG-NSR1</c:v>
                </c:pt>
                <c:pt idx="9">
                  <c:v>WG-NSR2</c:v>
                </c:pt>
                <c:pt idx="10">
                  <c:v>WG-NSR3</c:v>
                </c:pt>
                <c:pt idx="11">
                  <c:v>WG-NRR1</c:v>
                </c:pt>
                <c:pt idx="12">
                  <c:v>WG-NRR2</c:v>
                </c:pt>
                <c:pt idx="13">
                  <c:v>WG-PNR1</c:v>
                </c:pt>
                <c:pt idx="14">
                  <c:v>WG-SRI1</c:v>
                </c:pt>
                <c:pt idx="15">
                  <c:v>WG-VVR1</c:v>
                </c:pt>
                <c:pt idx="16">
                  <c:v>WG-AKR1</c:v>
                </c:pt>
                <c:pt idx="17">
                  <c:v>WG-AKR2</c:v>
                </c:pt>
                <c:pt idx="18">
                  <c:v>WG-SRM1</c:v>
                </c:pt>
              </c:strCache>
            </c:strRef>
          </c:cat>
          <c:val>
            <c:numRef>
              <c:f>'IC.v2 Chl-a Predictions'!$F$2:$F$20</c:f>
              <c:numCache>
                <c:formatCode>0.00</c:formatCode>
                <c:ptCount val="19"/>
                <c:pt idx="0">
                  <c:v>288.35000000000002</c:v>
                </c:pt>
                <c:pt idx="1">
                  <c:v>99.9</c:v>
                </c:pt>
                <c:pt idx="2">
                  <c:v>136.63999999999999</c:v>
                </c:pt>
                <c:pt idx="3">
                  <c:v>162.38999999999999</c:v>
                </c:pt>
                <c:pt idx="4">
                  <c:v>120.61</c:v>
                </c:pt>
                <c:pt idx="5">
                  <c:v>105.89</c:v>
                </c:pt>
                <c:pt idx="6">
                  <c:v>144.71</c:v>
                </c:pt>
                <c:pt idx="7">
                  <c:v>162.16999999999999</c:v>
                </c:pt>
                <c:pt idx="8">
                  <c:v>148.30000000000001</c:v>
                </c:pt>
                <c:pt idx="9">
                  <c:v>118.9</c:v>
                </c:pt>
                <c:pt idx="10">
                  <c:v>135.15</c:v>
                </c:pt>
                <c:pt idx="11">
                  <c:v>127.55</c:v>
                </c:pt>
                <c:pt idx="12">
                  <c:v>65.099999999999994</c:v>
                </c:pt>
                <c:pt idx="13">
                  <c:v>65.59</c:v>
                </c:pt>
                <c:pt idx="14">
                  <c:v>78.63</c:v>
                </c:pt>
                <c:pt idx="15">
                  <c:v>186.74</c:v>
                </c:pt>
                <c:pt idx="16">
                  <c:v>95.35</c:v>
                </c:pt>
                <c:pt idx="17">
                  <c:v>74.22</c:v>
                </c:pt>
                <c:pt idx="18">
                  <c:v>142.09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3-054C-8B06-FE671F98F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243776"/>
        <c:axId val="1080245568"/>
      </c:lineChart>
      <c:catAx>
        <c:axId val="108024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45568"/>
        <c:crosses val="autoZero"/>
        <c:auto val="1"/>
        <c:lblAlgn val="ctr"/>
        <c:lblOffset val="100"/>
        <c:noMultiLvlLbl val="0"/>
      </c:catAx>
      <c:valAx>
        <c:axId val="1080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6</xdr:rowOff>
    </xdr:from>
    <xdr:to>
      <xdr:col>11</xdr:col>
      <xdr:colOff>571500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9EDAE-545F-0C17-E566-FCA82AEAC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pane ySplit="1" topLeftCell="A2" activePane="bottomLeft" state="frozen"/>
      <selection pane="bottomLeft" activeCell="N16" sqref="N16"/>
    </sheetView>
  </sheetViews>
  <sheetFormatPr baseColWidth="10" defaultColWidth="8.6640625" defaultRowHeight="15" customHeight="1" x14ac:dyDescent="0.2"/>
  <cols>
    <col min="1" max="1" width="10" customWidth="1"/>
    <col min="2" max="2" width="16" customWidth="1"/>
    <col min="3" max="4" width="12" customWidth="1"/>
    <col min="5" max="5" width="14" customWidth="1"/>
    <col min="6" max="6" width="24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</row>
    <row r="2" spans="1:6" x14ac:dyDescent="0.2">
      <c r="A2" s="2" t="s">
        <v>7</v>
      </c>
      <c r="B2" s="3" t="s">
        <v>8</v>
      </c>
      <c r="C2" s="4">
        <v>16.665700000000001</v>
      </c>
      <c r="D2" s="4">
        <v>81.138400000000004</v>
      </c>
      <c r="E2" s="2" t="s">
        <v>6</v>
      </c>
      <c r="F2" s="5">
        <v>288.35000000000002</v>
      </c>
    </row>
    <row r="3" spans="1:6" x14ac:dyDescent="0.2">
      <c r="A3" s="6" t="s">
        <v>10</v>
      </c>
      <c r="B3" s="7" t="s">
        <v>8</v>
      </c>
      <c r="C3" s="8">
        <v>16.665700000000001</v>
      </c>
      <c r="D3" s="8">
        <v>81.140100000000004</v>
      </c>
      <c r="E3" s="6" t="s">
        <v>9</v>
      </c>
      <c r="F3" s="9">
        <v>99.9</v>
      </c>
    </row>
    <row r="4" spans="1:6" x14ac:dyDescent="0.2">
      <c r="A4" s="2" t="s">
        <v>12</v>
      </c>
      <c r="B4" s="3" t="s">
        <v>8</v>
      </c>
      <c r="C4" s="4">
        <v>16.655000000000001</v>
      </c>
      <c r="D4" s="4">
        <v>81.151600000000002</v>
      </c>
      <c r="E4" s="2" t="s">
        <v>11</v>
      </c>
      <c r="F4" s="5">
        <v>136.63999999999999</v>
      </c>
    </row>
    <row r="5" spans="1:6" x14ac:dyDescent="0.2">
      <c r="A5" s="6" t="s">
        <v>14</v>
      </c>
      <c r="B5" s="7" t="s">
        <v>15</v>
      </c>
      <c r="C5" s="8">
        <v>16.653400000000001</v>
      </c>
      <c r="D5" s="8">
        <v>81.147900000000007</v>
      </c>
      <c r="E5" s="6" t="s">
        <v>13</v>
      </c>
      <c r="F5" s="9">
        <v>162.38999999999999</v>
      </c>
    </row>
    <row r="6" spans="1:6" x14ac:dyDescent="0.2">
      <c r="A6" s="2" t="s">
        <v>17</v>
      </c>
      <c r="B6" s="3" t="s">
        <v>15</v>
      </c>
      <c r="C6" s="4">
        <v>16.650700000000001</v>
      </c>
      <c r="D6" s="4">
        <v>81.151300000000006</v>
      </c>
      <c r="E6" s="2" t="s">
        <v>16</v>
      </c>
      <c r="F6" s="5">
        <v>120.61</v>
      </c>
    </row>
    <row r="7" spans="1:6" x14ac:dyDescent="0.2">
      <c r="A7" s="6" t="s">
        <v>19</v>
      </c>
      <c r="B7" s="7" t="s">
        <v>15</v>
      </c>
      <c r="C7" s="8">
        <v>16.628499999999999</v>
      </c>
      <c r="D7" s="8">
        <v>81.144900000000007</v>
      </c>
      <c r="E7" s="6" t="s">
        <v>18</v>
      </c>
      <c r="F7" s="9">
        <v>105.89</v>
      </c>
    </row>
    <row r="8" spans="1:6" x14ac:dyDescent="0.2">
      <c r="A8" s="2" t="s">
        <v>21</v>
      </c>
      <c r="B8" s="3" t="s">
        <v>22</v>
      </c>
      <c r="C8" s="4">
        <v>16.621700000000001</v>
      </c>
      <c r="D8" s="4">
        <v>81.138000000000005</v>
      </c>
      <c r="E8" s="2" t="s">
        <v>20</v>
      </c>
      <c r="F8" s="5">
        <v>144.71</v>
      </c>
    </row>
    <row r="9" spans="1:6" x14ac:dyDescent="0.2">
      <c r="A9" s="6" t="s">
        <v>24</v>
      </c>
      <c r="B9" s="7" t="s">
        <v>22</v>
      </c>
      <c r="C9" s="8">
        <v>16.619499999999999</v>
      </c>
      <c r="D9" s="8">
        <v>81.133300000000006</v>
      </c>
      <c r="E9" s="6" t="s">
        <v>23</v>
      </c>
      <c r="F9" s="9">
        <v>162.16999999999999</v>
      </c>
    </row>
    <row r="10" spans="1:6" x14ac:dyDescent="0.2">
      <c r="A10" s="2" t="s">
        <v>26</v>
      </c>
      <c r="B10" s="3" t="s">
        <v>27</v>
      </c>
      <c r="C10" s="4">
        <v>16.615100000000002</v>
      </c>
      <c r="D10" s="4">
        <v>81.137799999999999</v>
      </c>
      <c r="E10" s="2" t="s">
        <v>25</v>
      </c>
      <c r="F10" s="5">
        <v>148.30000000000001</v>
      </c>
    </row>
    <row r="11" spans="1:6" x14ac:dyDescent="0.2">
      <c r="A11" s="6" t="s">
        <v>29</v>
      </c>
      <c r="B11" s="7" t="s">
        <v>27</v>
      </c>
      <c r="C11" s="8">
        <v>16.616399999999999</v>
      </c>
      <c r="D11" s="8">
        <v>81.143299999999996</v>
      </c>
      <c r="E11" s="6" t="s">
        <v>28</v>
      </c>
      <c r="F11" s="9">
        <v>118.9</v>
      </c>
    </row>
    <row r="12" spans="1:6" x14ac:dyDescent="0.2">
      <c r="A12" s="2" t="s">
        <v>31</v>
      </c>
      <c r="B12" s="3" t="s">
        <v>27</v>
      </c>
      <c r="C12" s="4">
        <v>16.610099999999999</v>
      </c>
      <c r="D12" s="4">
        <v>81.144900000000007</v>
      </c>
      <c r="E12" s="2" t="s">
        <v>30</v>
      </c>
      <c r="F12" s="5">
        <v>135.15</v>
      </c>
    </row>
    <row r="13" spans="1:6" x14ac:dyDescent="0.2">
      <c r="A13" s="6" t="s">
        <v>33</v>
      </c>
      <c r="B13" s="7" t="s">
        <v>34</v>
      </c>
      <c r="C13" s="8">
        <v>16.654399999999999</v>
      </c>
      <c r="D13" s="8">
        <v>81.154300000000006</v>
      </c>
      <c r="E13" s="6" t="s">
        <v>32</v>
      </c>
      <c r="F13" s="9">
        <v>127.55</v>
      </c>
    </row>
    <row r="14" spans="1:6" x14ac:dyDescent="0.2">
      <c r="A14" s="2" t="s">
        <v>36</v>
      </c>
      <c r="B14" s="3" t="s">
        <v>34</v>
      </c>
      <c r="C14" s="4">
        <v>16.648099999999999</v>
      </c>
      <c r="D14" s="4">
        <v>81.147199999999998</v>
      </c>
      <c r="E14" s="2" t="s">
        <v>35</v>
      </c>
      <c r="F14" s="5">
        <v>65.099999999999994</v>
      </c>
    </row>
    <row r="15" spans="1:6" x14ac:dyDescent="0.2">
      <c r="A15" s="6" t="s">
        <v>38</v>
      </c>
      <c r="B15" s="7" t="s">
        <v>34</v>
      </c>
      <c r="C15" s="8">
        <v>16.651299999999999</v>
      </c>
      <c r="D15" s="8">
        <v>81.14</v>
      </c>
      <c r="E15" s="6" t="s">
        <v>37</v>
      </c>
      <c r="F15" s="9">
        <v>65.59</v>
      </c>
    </row>
    <row r="16" spans="1:6" x14ac:dyDescent="0.2">
      <c r="A16" s="2" t="s">
        <v>40</v>
      </c>
      <c r="B16" s="3" t="s">
        <v>41</v>
      </c>
      <c r="C16" s="4">
        <v>16.644300000000001</v>
      </c>
      <c r="D16" s="4">
        <v>81.12</v>
      </c>
      <c r="E16" s="2" t="s">
        <v>39</v>
      </c>
      <c r="F16" s="5">
        <v>78.63</v>
      </c>
    </row>
    <row r="17" spans="1:6" x14ac:dyDescent="0.2">
      <c r="A17" s="6" t="s">
        <v>43</v>
      </c>
      <c r="B17" s="7" t="s">
        <v>41</v>
      </c>
      <c r="C17" s="8">
        <v>16.665500000000002</v>
      </c>
      <c r="D17" s="8">
        <v>81.137100000000004</v>
      </c>
      <c r="E17" s="6" t="s">
        <v>42</v>
      </c>
      <c r="F17" s="9">
        <v>186.74</v>
      </c>
    </row>
    <row r="18" spans="1:6" x14ac:dyDescent="0.2">
      <c r="A18" s="2" t="s">
        <v>45</v>
      </c>
      <c r="B18" s="3" t="s">
        <v>46</v>
      </c>
      <c r="C18" s="4">
        <v>16.6724</v>
      </c>
      <c r="D18" s="4">
        <v>81.173199999999994</v>
      </c>
      <c r="E18" s="2" t="s">
        <v>44</v>
      </c>
      <c r="F18" s="5">
        <v>95.35</v>
      </c>
    </row>
    <row r="19" spans="1:6" x14ac:dyDescent="0.2">
      <c r="A19" s="6" t="s">
        <v>48</v>
      </c>
      <c r="B19" s="7" t="s">
        <v>46</v>
      </c>
      <c r="C19" s="8">
        <v>16.670999999999999</v>
      </c>
      <c r="D19" s="8">
        <v>81.172600000000003</v>
      </c>
      <c r="E19" s="6" t="s">
        <v>47</v>
      </c>
      <c r="F19" s="9">
        <v>74.22</v>
      </c>
    </row>
    <row r="20" spans="1:6" x14ac:dyDescent="0.2">
      <c r="A20" s="2" t="s">
        <v>50</v>
      </c>
      <c r="B20" s="3" t="s">
        <v>46</v>
      </c>
      <c r="C20" s="4">
        <v>16.670400000000001</v>
      </c>
      <c r="D20" s="4">
        <v>81.167699999999996</v>
      </c>
      <c r="E20" s="2" t="s">
        <v>49</v>
      </c>
      <c r="F20" s="5">
        <v>142.09</v>
      </c>
    </row>
    <row r="22" spans="1:6" x14ac:dyDescent="0.2">
      <c r="D22" s="10" t="s">
        <v>51</v>
      </c>
      <c r="F22" s="11">
        <f>AVERAGE(F2:F20)</f>
        <v>129.38315789473683</v>
      </c>
    </row>
    <row r="23" spans="1:6" x14ac:dyDescent="0.2">
      <c r="D23" s="10" t="s">
        <v>52</v>
      </c>
      <c r="F23" s="11">
        <f>MIN(F2:F20)</f>
        <v>65.099999999999994</v>
      </c>
    </row>
    <row r="24" spans="1:6" x14ac:dyDescent="0.2">
      <c r="D24" s="10" t="s">
        <v>53</v>
      </c>
      <c r="F24" s="11">
        <f>MAX(F2:F20)</f>
        <v>288.35000000000002</v>
      </c>
    </row>
    <row r="26" spans="1:6" x14ac:dyDescent="0.2">
      <c r="E26" s="12" t="s">
        <v>54</v>
      </c>
    </row>
  </sheetData>
  <autoFilter ref="A1:F20" xr:uid="{00000000-0009-0000-0000-000000000000}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IC.v2 Chl-a Predictions</vt:lpstr>
      <vt:lpstr>'IC.v2 Chl-a Predictions'!_FilterDatabase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Haven King-Nobles</cp:lastModifiedBy>
  <cp:revision>0</cp:revision>
  <dcterms:created xsi:type="dcterms:W3CDTF">2026-02-26T15:54:36Z</dcterms:created>
  <dcterms:modified xsi:type="dcterms:W3CDTF">2026-02-26T15:59:16Z</dcterms:modified>
  <dc:language>en-US</dc:language>
</cp:coreProperties>
</file>